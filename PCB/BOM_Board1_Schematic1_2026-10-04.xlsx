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<sst xmlns="http://schemas.openxmlformats.org/spreadsheetml/2006/main" count="324" uniqueCount="158">
  <si>
    <t/>
  </si>
  <si>
    <t xml:space="preserve">Bill of Materials </t>
  </si>
  <si>
    <t>BOM_Board1_Schematic1_2026-10-04</t>
  </si>
  <si>
    <t>Project Title：</t>
  </si>
  <si>
    <t>Thermocouple</t>
  </si>
  <si>
    <t>Variant:</t>
  </si>
  <si>
    <t xml:space="preserve"> </t>
  </si>
  <si>
    <t>Report Time：</t>
  </si>
  <si>
    <t>2026年10月4日 10:58:56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</si>
  <si>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</si>
  <si>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</si>
  <si>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</si>
  <si>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</si>
  <si>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</si>
  <si>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</si>
  <si>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</si>
  <si>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</si>
  <si>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</si>
  <si>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</si>
  <si>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</si>
  <si>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</si>
  <si>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1uF</t>
  </si>
  <si>
    <t>C7, C8, C9, C10, C11, C12, C13, C14, C16, C17, C69, C70, C72, C73, C75, C76, C80, C81, C82, C83, C87, C88</t>
  </si>
  <si>
    <t>C0603</t>
  </si>
  <si>
    <t>CL10A105KB8NNNC</t>
  </si>
  <si>
    <t>SAMSUNG(三星)</t>
  </si>
  <si>
    <t>C15849</t>
  </si>
  <si>
    <t>LCSC</t>
  </si>
  <si>
    <t>10uF</t>
  </si>
  <si>
    <t>C1, C2</t>
  </si>
  <si>
    <t>CGA0603X5R106K100JT</t>
  </si>
  <si>
    <t>HRE(芯声)</t>
  </si>
  <si>
    <t>C6119842</t>
  </si>
  <si>
    <t>22pF</t>
  </si>
  <si>
    <t>C93, C94</t>
  </si>
  <si>
    <t>CL10C220JB8NNNC</t>
  </si>
  <si>
    <t>C1653</t>
  </si>
  <si>
    <t>22uF</t>
  </si>
  <si>
    <t>C4, C5</t>
  </si>
  <si>
    <t>100nF</t>
  </si>
  <si>
    <t>C95, C96, C97, C98, C99, C100</t>
  </si>
  <si>
    <t>CC0603KRX7R9BB104</t>
  </si>
  <si>
    <t>YAGEO(国巨)</t>
  </si>
  <si>
    <t>C14663</t>
  </si>
  <si>
    <t>C3, C6, C15, C18, C20, C21, C71, C74, C77, C85, C86, C89, C90</t>
  </si>
  <si>
    <t>FCC0603B104K500CT</t>
  </si>
  <si>
    <t>FOJAN(富捷)</t>
  </si>
  <si>
    <t>C5137636</t>
  </si>
  <si>
    <t>105</t>
  </si>
  <si>
    <t>C101</t>
  </si>
  <si>
    <t>106</t>
  </si>
  <si>
    <t>C102</t>
  </si>
  <si>
    <t>KF128-5.08-2P-AA</t>
  </si>
  <si>
    <t>H1, H2, H3, H4, H5, H6, H7, H8</t>
  </si>
  <si>
    <t>CONN-TH_P5.08_KF128-5.08-2P</t>
  </si>
  <si>
    <t>KEFA(科发)</t>
  </si>
  <si>
    <t>C474952</t>
  </si>
  <si>
    <t>DC-005-A200</t>
  </si>
  <si>
    <t>DC2</t>
  </si>
  <si>
    <t>DC-IN-TH_DC-005-A200</t>
  </si>
  <si>
    <t>XUNPU(讯普)</t>
  </si>
  <si>
    <t>C720557</t>
  </si>
  <si>
    <t>220S-1*4P H=8.5MM Ytype Gold-plated</t>
  </si>
  <si>
    <t>Burn</t>
  </si>
  <si>
    <t>DIP-1X4P2.54</t>
  </si>
  <si>
    <t>Ckmtw</t>
  </si>
  <si>
    <t>C124413</t>
  </si>
  <si>
    <t>COM</t>
  </si>
  <si>
    <t>8MHz</t>
  </si>
  <si>
    <t>X2</t>
  </si>
  <si>
    <t>HC-49US_L11.5-W4.5-P4.88</t>
  </si>
  <si>
    <t>9B08000006</t>
  </si>
  <si>
    <t>TXC(台湾晶技)</t>
  </si>
  <si>
    <t>C97198</t>
  </si>
  <si>
    <t>2.2uH</t>
  </si>
  <si>
    <t>L1</t>
  </si>
  <si>
    <t>IND-SMD_FCD32-2R2M</t>
  </si>
  <si>
    <t>FCD32-2R2M</t>
  </si>
  <si>
    <t>cjiang(长江微电)</t>
  </si>
  <si>
    <t>C41382324</t>
  </si>
  <si>
    <t>Switch3x4x2</t>
  </si>
  <si>
    <t>KEY2</t>
  </si>
  <si>
    <t>KEY-3.0*4.0</t>
  </si>
  <si>
    <t>ReliaPro</t>
  </si>
  <si>
    <t>C26638</t>
  </si>
  <si>
    <t>CBW321609U601T</t>
  </si>
  <si>
    <t>L2, L3, L9, L10, L11</t>
  </si>
  <si>
    <t>L1206</t>
  </si>
  <si>
    <t>FH(风华)</t>
  </si>
  <si>
    <t>C73732</t>
  </si>
  <si>
    <t>LED_0603-R</t>
  </si>
  <si>
    <t>LED1, LED2, LED3</t>
  </si>
  <si>
    <t>LED_0603</t>
  </si>
  <si>
    <t>STM32F103C8T6</t>
  </si>
  <si>
    <t>U13</t>
  </si>
  <si>
    <t>LQFP-48_L7.0-W7.0-P0.50-LS9.0-BL</t>
  </si>
  <si>
    <t>STMicroelectronics</t>
  </si>
  <si>
    <t>C8734</t>
  </si>
  <si>
    <t>10kΩ</t>
  </si>
  <si>
    <t>R1, R2, R18, R19, R20, R38, R39, R40, R41</t>
  </si>
  <si>
    <t>R0603</t>
  </si>
  <si>
    <t>0603WAF1002T5E</t>
  </si>
  <si>
    <t>UNI-ROYAL(厚声)</t>
  </si>
  <si>
    <t>C25804</t>
  </si>
  <si>
    <t>R56</t>
  </si>
  <si>
    <t>FRC0603J103 TS</t>
  </si>
  <si>
    <t>C2930027</t>
  </si>
  <si>
    <t>36kΩ</t>
  </si>
  <si>
    <t>R3</t>
  </si>
  <si>
    <t>FRC0603F3602TS</t>
  </si>
  <si>
    <t>C2930097</t>
  </si>
  <si>
    <t>100kΩ</t>
  </si>
  <si>
    <t>R57</t>
  </si>
  <si>
    <t>FRC0603F1003TS</t>
  </si>
  <si>
    <t>C2906980</t>
  </si>
  <si>
    <t>CH340N</t>
  </si>
  <si>
    <t>CH1</t>
  </si>
  <si>
    <t>SOP-8_L4.9-W3.9-P1.27-LS6.0-BL</t>
  </si>
  <si>
    <t>WCH(南京沁恒)</t>
  </si>
  <si>
    <t>C2977777</t>
  </si>
  <si>
    <t>TPS7A2033PDBVR</t>
  </si>
  <si>
    <t>U6, U7</t>
  </si>
  <si>
    <t>SOT-23-5_L2.9-W1.6-P0.95-LS2.8-BR</t>
  </si>
  <si>
    <t>TI(德州仪器)</t>
  </si>
  <si>
    <t>C2862740</t>
  </si>
  <si>
    <t>TPS563201DDCR</t>
  </si>
  <si>
    <t>U5</t>
  </si>
  <si>
    <t>SOT-23-6_L2.9-W1.6-P0.95-LS2.8-BR</t>
  </si>
  <si>
    <t>C116592</t>
  </si>
  <si>
    <t>AMS1117-3.3V</t>
  </si>
  <si>
    <t>Q3</t>
  </si>
  <si>
    <t>SOT-89-3_L4.5-W2.5-P1.50-LS4.2-BR</t>
  </si>
  <si>
    <t>MSKSEMI(美森科)</t>
  </si>
  <si>
    <t>C5120796</t>
  </si>
  <si>
    <t>ADS1220IPWR</t>
  </si>
  <si>
    <t>U1, U2, U3, U4</t>
  </si>
  <si>
    <t>TSSOP-16_L5.0-W4.4-P0.65-LS6.4-BL</t>
  </si>
  <si>
    <t>C48263</t>
  </si>
  <si>
    <t>Type-C 16P</t>
  </si>
  <si>
    <t>P1</t>
  </si>
  <si>
    <t>TYPE-C 16P</t>
  </si>
  <si>
    <t>Project Title</t>
  </si>
  <si>
    <t>Borard Title</t>
  </si>
  <si>
    <t>Board1</t>
  </si>
  <si>
    <t>Schematic Title</t>
  </si>
  <si>
    <t>Schematic1</t>
  </si>
  <si>
    <t>PCB Title</t>
  </si>
  <si>
    <t>Final</t>
  </si>
  <si>
    <t>Variant Name</t>
  </si>
  <si>
    <t>Total Quantity</t>
  </si>
  <si>
    <t>Report Time</t>
  </si>
  <si>
    <t>10:58:56</t>
  </si>
  <si>
    <t>Report Date</t>
  </si>
  <si>
    <t>2026年10月4日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</si>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</sst>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22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2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2</v>
      </c>
      <c r="C9" s="9" t="s">
        <v>33</v>
      </c>
      <c r="D9" s="9" t="s">
        <v>34</v>
      </c>
      <c r="E9" s="9" t="s">
        <v>23</v>
      </c>
      <c r="F9" s="9" t="s">
        <v>33</v>
      </c>
      <c r="G9" s="9" t="s">
        <v>35</v>
      </c>
      <c r="H9" s="9" t="s">
        <v>25</v>
      </c>
      <c r="I9" s="9" t="s">
        <v>36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2</v>
      </c>
      <c r="C10" s="9" t="s">
        <v>37</v>
      </c>
      <c r="D10" s="9" t="s">
        <v>38</v>
      </c>
      <c r="E10" s="9" t="s">
        <v>23</v>
      </c>
      <c r="F10" s="9" t="s">
        <v>37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</row>
    <row r="11" spans="1:11" x14ac:dyDescent="0.25">
      <c r="A11" s="8">
        <f>ROW()-6</f>
      </c>
      <c r="B11" s="9">
        <v>6</v>
      </c>
      <c r="C11" s="9" t="s">
        <v>39</v>
      </c>
      <c r="D11" s="9" t="s">
        <v>40</v>
      </c>
      <c r="E11" s="9" t="s">
        <v>23</v>
      </c>
      <c r="F11" s="9" t="s">
        <v>39</v>
      </c>
      <c r="G11" s="9" t="s">
        <v>41</v>
      </c>
      <c r="H11" s="9" t="s">
        <v>42</v>
      </c>
      <c r="I11" s="9" t="s">
        <v>43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13</v>
      </c>
      <c r="C12" s="9" t="s">
        <v>39</v>
      </c>
      <c r="D12" s="9" t="s">
        <v>44</v>
      </c>
      <c r="E12" s="9" t="s">
        <v>23</v>
      </c>
      <c r="F12" s="9" t="s">
        <v>39</v>
      </c>
      <c r="G12" s="9" t="s">
        <v>45</v>
      </c>
      <c r="H12" s="9" t="s">
        <v>46</v>
      </c>
      <c r="I12" s="9" t="s">
        <v>47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48</v>
      </c>
      <c r="D13" s="9" t="s">
        <v>49</v>
      </c>
      <c r="E13" s="9" t="s">
        <v>23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</row>
    <row r="14" spans="1:11" x14ac:dyDescent="0.25">
      <c r="A14" s="8">
        <f>ROW()-6</f>
      </c>
      <c r="B14" s="9">
        <v>1</v>
      </c>
      <c r="C14" s="9" t="s">
        <v>50</v>
      </c>
      <c r="D14" s="9" t="s">
        <v>51</v>
      </c>
      <c r="E14" s="9" t="s">
        <v>23</v>
      </c>
      <c r="F14" s="9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</row>
    <row r="15" spans="1:11" x14ac:dyDescent="0.25">
      <c r="A15" s="8">
        <f>ROW()-6</f>
      </c>
      <c r="B15" s="9">
        <v>8</v>
      </c>
      <c r="C15" s="9" t="s">
        <v>52</v>
      </c>
      <c r="D15" s="9" t="s">
        <v>53</v>
      </c>
      <c r="E15" s="9" t="s">
        <v>54</v>
      </c>
      <c r="F15" s="9" t="s">
        <v>0</v>
      </c>
      <c r="G15" s="9" t="s">
        <v>52</v>
      </c>
      <c r="H15" s="9" t="s">
        <v>55</v>
      </c>
      <c r="I15" s="9" t="s">
        <v>56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1</v>
      </c>
      <c r="C16" s="9" t="s">
        <v>57</v>
      </c>
      <c r="D16" s="9" t="s">
        <v>58</v>
      </c>
      <c r="E16" s="9" t="s">
        <v>59</v>
      </c>
      <c r="F16" s="9" t="s">
        <v>0</v>
      </c>
      <c r="G16" s="9" t="s">
        <v>57</v>
      </c>
      <c r="H16" s="9" t="s">
        <v>60</v>
      </c>
      <c r="I16" s="9" t="s">
        <v>61</v>
      </c>
      <c r="J16" s="9" t="s">
        <v>27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62</v>
      </c>
      <c r="D17" s="9" t="s">
        <v>63</v>
      </c>
      <c r="E17" s="9" t="s">
        <v>64</v>
      </c>
      <c r="F17" s="9" t="s">
        <v>0</v>
      </c>
      <c r="G17" s="9" t="s">
        <v>62</v>
      </c>
      <c r="H17" s="9" t="s">
        <v>65</v>
      </c>
      <c r="I17" s="9" t="s">
        <v>66</v>
      </c>
      <c r="J17" s="9" t="s">
        <v>27</v>
      </c>
      <c r="K17" s="9" t="s">
        <v>0</v>
      </c>
    </row>
    <row r="18" spans="1:11" x14ac:dyDescent="0.25">
      <c r="A18" s="8">
        <f>ROW()-6</f>
      </c>
      <c r="B18" s="9">
        <v>1</v>
      </c>
      <c r="C18" s="9" t="s">
        <v>67</v>
      </c>
      <c r="D18" s="9" t="s">
        <v>67</v>
      </c>
      <c r="E18" s="9" t="s">
        <v>64</v>
      </c>
      <c r="F18" s="9" t="s">
        <v>0</v>
      </c>
      <c r="G18" s="9" t="s">
        <v>62</v>
      </c>
      <c r="H18" s="9" t="s">
        <v>65</v>
      </c>
      <c r="I18" s="9" t="s">
        <v>66</v>
      </c>
      <c r="J18" s="9" t="s">
        <v>27</v>
      </c>
      <c r="K18" s="9" t="s">
        <v>0</v>
      </c>
    </row>
    <row r="19" spans="1:11" x14ac:dyDescent="0.25">
      <c r="A19" s="8">
        <f>ROW()-6</f>
      </c>
      <c r="B19" s="9">
        <v>1</v>
      </c>
      <c r="C19" s="9" t="s">
        <v>68</v>
      </c>
      <c r="D19" s="9" t="s">
        <v>69</v>
      </c>
      <c r="E19" s="9" t="s">
        <v>70</v>
      </c>
      <c r="F19" s="9" t="s">
        <v>68</v>
      </c>
      <c r="G19" s="9" t="s">
        <v>71</v>
      </c>
      <c r="H19" s="9" t="s">
        <v>72</v>
      </c>
      <c r="I19" s="9" t="s">
        <v>73</v>
      </c>
      <c r="J19" s="9" t="s">
        <v>27</v>
      </c>
      <c r="K19" s="9" t="s">
        <v>0</v>
      </c>
    </row>
    <row r="20" spans="1:11" x14ac:dyDescent="0.25">
      <c r="A20" s="8">
        <f>ROW()-6</f>
      </c>
      <c r="B20" s="9">
        <v>1</v>
      </c>
      <c r="C20" s="9" t="s">
        <v>74</v>
      </c>
      <c r="D20" s="9" t="s">
        <v>75</v>
      </c>
      <c r="E20" s="9" t="s">
        <v>76</v>
      </c>
      <c r="F20" s="9" t="s">
        <v>74</v>
      </c>
      <c r="G20" s="9" t="s">
        <v>77</v>
      </c>
      <c r="H20" s="9" t="s">
        <v>78</v>
      </c>
      <c r="I20" s="9" t="s">
        <v>79</v>
      </c>
      <c r="J20" s="9" t="s">
        <v>27</v>
      </c>
      <c r="K20" s="9" t="s">
        <v>0</v>
      </c>
    </row>
    <row r="21" spans="1:11" x14ac:dyDescent="0.25">
      <c r="A21" s="8">
        <f>ROW()-6</f>
      </c>
      <c r="B21" s="9">
        <v>1</v>
      </c>
      <c r="C21" s="9" t="s">
        <v>80</v>
      </c>
      <c r="D21" s="9" t="s">
        <v>81</v>
      </c>
      <c r="E21" s="9" t="s">
        <v>82</v>
      </c>
      <c r="F21" s="9" t="s">
        <v>0</v>
      </c>
      <c r="G21" s="9" t="s">
        <v>80</v>
      </c>
      <c r="H21" s="9" t="s">
        <v>83</v>
      </c>
      <c r="I21" s="9" t="s">
        <v>84</v>
      </c>
      <c r="J21" s="9" t="s">
        <v>27</v>
      </c>
      <c r="K21" s="9" t="s">
        <v>0</v>
      </c>
    </row>
    <row r="22" spans="1:11" x14ac:dyDescent="0.25">
      <c r="A22" s="8">
        <f>ROW()-6</f>
      </c>
      <c r="B22" s="9">
        <v>5</v>
      </c>
      <c r="C22" s="9" t="s">
        <v>85</v>
      </c>
      <c r="D22" s="9" t="s">
        <v>86</v>
      </c>
      <c r="E22" s="9" t="s">
        <v>87</v>
      </c>
      <c r="F22" s="9" t="s">
        <v>0</v>
      </c>
      <c r="G22" s="9" t="s">
        <v>85</v>
      </c>
      <c r="H22" s="9" t="s">
        <v>88</v>
      </c>
      <c r="I22" s="9" t="s">
        <v>89</v>
      </c>
      <c r="J22" s="9" t="s">
        <v>27</v>
      </c>
      <c r="K22" s="9" t="s">
        <v>0</v>
      </c>
    </row>
    <row r="23" spans="1:11" x14ac:dyDescent="0.25">
      <c r="A23" s="8">
        <f>ROW()-6</f>
      </c>
      <c r="B23" s="9">
        <v>3</v>
      </c>
      <c r="C23" s="9" t="s">
        <v>90</v>
      </c>
      <c r="D23" s="9" t="s">
        <v>91</v>
      </c>
      <c r="E23" s="9" t="s">
        <v>92</v>
      </c>
      <c r="F23" s="9" t="s">
        <v>0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</row>
    <row r="24" spans="1:11" x14ac:dyDescent="0.25">
      <c r="A24" s="8">
        <f>ROW()-6</f>
      </c>
      <c r="B24" s="9">
        <v>1</v>
      </c>
      <c r="C24" s="9" t="s">
        <v>93</v>
      </c>
      <c r="D24" s="9" t="s">
        <v>94</v>
      </c>
      <c r="E24" s="9" t="s">
        <v>95</v>
      </c>
      <c r="F24" s="9" t="s">
        <v>0</v>
      </c>
      <c r="G24" s="9" t="s">
        <v>93</v>
      </c>
      <c r="H24" s="9" t="s">
        <v>96</v>
      </c>
      <c r="I24" s="9" t="s">
        <v>97</v>
      </c>
      <c r="J24" s="9" t="s">
        <v>27</v>
      </c>
      <c r="K24" s="9" t="s">
        <v>0</v>
      </c>
    </row>
    <row r="25" spans="1:11" x14ac:dyDescent="0.25">
      <c r="A25" s="8">
        <f>ROW()-6</f>
      </c>
      <c r="B25" s="9">
        <v>9</v>
      </c>
      <c r="C25" s="9" t="s">
        <v>98</v>
      </c>
      <c r="D25" s="9" t="s">
        <v>99</v>
      </c>
      <c r="E25" s="9" t="s">
        <v>100</v>
      </c>
      <c r="F25" s="9" t="s">
        <v>98</v>
      </c>
      <c r="G25" s="9" t="s">
        <v>101</v>
      </c>
      <c r="H25" s="9" t="s">
        <v>102</v>
      </c>
      <c r="I25" s="9" t="s">
        <v>103</v>
      </c>
      <c r="J25" s="9" t="s">
        <v>27</v>
      </c>
      <c r="K25" s="9" t="s">
        <v>0</v>
      </c>
    </row>
    <row r="26" spans="1:11" x14ac:dyDescent="0.25">
      <c r="A26" s="8">
        <f>ROW()-6</f>
      </c>
      <c r="B26" s="9">
        <v>1</v>
      </c>
      <c r="C26" s="9" t="s">
        <v>98</v>
      </c>
      <c r="D26" s="9" t="s">
        <v>104</v>
      </c>
      <c r="E26" s="9" t="s">
        <v>100</v>
      </c>
      <c r="F26" s="9" t="s">
        <v>98</v>
      </c>
      <c r="G26" s="9" t="s">
        <v>105</v>
      </c>
      <c r="H26" s="9" t="s">
        <v>46</v>
      </c>
      <c r="I26" s="9" t="s">
        <v>106</v>
      </c>
      <c r="J26" s="9" t="s">
        <v>27</v>
      </c>
      <c r="K26" s="9" t="s">
        <v>0</v>
      </c>
    </row>
    <row r="27" spans="1:11" x14ac:dyDescent="0.25">
      <c r="A27" s="8">
        <f>ROW()-6</f>
      </c>
      <c r="B27" s="9">
        <v>1</v>
      </c>
      <c r="C27" s="9" t="s">
        <v>107</v>
      </c>
      <c r="D27" s="9" t="s">
        <v>108</v>
      </c>
      <c r="E27" s="9" t="s">
        <v>100</v>
      </c>
      <c r="F27" s="9" t="s">
        <v>107</v>
      </c>
      <c r="G27" s="9" t="s">
        <v>109</v>
      </c>
      <c r="H27" s="9" t="s">
        <v>46</v>
      </c>
      <c r="I27" s="9" t="s">
        <v>110</v>
      </c>
      <c r="J27" s="9" t="s">
        <v>27</v>
      </c>
      <c r="K27" s="9" t="s">
        <v>0</v>
      </c>
    </row>
    <row r="28" spans="1:11" x14ac:dyDescent="0.25">
      <c r="A28" s="8">
        <f>ROW()-6</f>
      </c>
      <c r="B28" s="9">
        <v>1</v>
      </c>
      <c r="C28" s="9" t="s">
        <v>111</v>
      </c>
      <c r="D28" s="9" t="s">
        <v>112</v>
      </c>
      <c r="E28" s="9" t="s">
        <v>100</v>
      </c>
      <c r="F28" s="9" t="s">
        <v>111</v>
      </c>
      <c r="G28" s="9" t="s">
        <v>113</v>
      </c>
      <c r="H28" s="9" t="s">
        <v>46</v>
      </c>
      <c r="I28" s="9" t="s">
        <v>114</v>
      </c>
      <c r="J28" s="9" t="s">
        <v>27</v>
      </c>
      <c r="K28" s="9" t="s">
        <v>0</v>
      </c>
    </row>
    <row r="29" spans="1:11" x14ac:dyDescent="0.25">
      <c r="A29" s="8">
        <f>ROW()-6</f>
      </c>
      <c r="B29" s="9">
        <v>1</v>
      </c>
      <c r="C29" s="9" t="s">
        <v>115</v>
      </c>
      <c r="D29" s="9" t="s">
        <v>116</v>
      </c>
      <c r="E29" s="9" t="s">
        <v>117</v>
      </c>
      <c r="F29" s="9" t="s">
        <v>0</v>
      </c>
      <c r="G29" s="9" t="s">
        <v>115</v>
      </c>
      <c r="H29" s="9" t="s">
        <v>118</v>
      </c>
      <c r="I29" s="9" t="s">
        <v>119</v>
      </c>
      <c r="J29" s="9" t="s">
        <v>27</v>
      </c>
      <c r="K29" s="9" t="s">
        <v>0</v>
      </c>
    </row>
    <row r="30" spans="1:11" x14ac:dyDescent="0.25">
      <c r="A30" s="8">
        <f>ROW()-6</f>
      </c>
      <c r="B30" s="9">
        <v>2</v>
      </c>
      <c r="C30" s="9" t="s">
        <v>120</v>
      </c>
      <c r="D30" s="9" t="s">
        <v>121</v>
      </c>
      <c r="E30" s="9" t="s">
        <v>122</v>
      </c>
      <c r="F30" s="9" t="s">
        <v>0</v>
      </c>
      <c r="G30" s="9" t="s">
        <v>120</v>
      </c>
      <c r="H30" s="9" t="s">
        <v>123</v>
      </c>
      <c r="I30" s="9" t="s">
        <v>124</v>
      </c>
      <c r="J30" s="9" t="s">
        <v>27</v>
      </c>
      <c r="K30" s="9" t="s">
        <v>0</v>
      </c>
    </row>
    <row r="31" spans="1:11" x14ac:dyDescent="0.25">
      <c r="A31" s="8">
        <f>ROW()-6</f>
      </c>
      <c r="B31" s="9">
        <v>1</v>
      </c>
      <c r="C31" s="9" t="s">
        <v>125</v>
      </c>
      <c r="D31" s="9" t="s">
        <v>126</v>
      </c>
      <c r="E31" s="9" t="s">
        <v>127</v>
      </c>
      <c r="F31" s="9" t="s">
        <v>0</v>
      </c>
      <c r="G31" s="9" t="s">
        <v>125</v>
      </c>
      <c r="H31" s="9" t="s">
        <v>123</v>
      </c>
      <c r="I31" s="9" t="s">
        <v>128</v>
      </c>
      <c r="J31" s="9" t="s">
        <v>27</v>
      </c>
      <c r="K31" s="9" t="s">
        <v>0</v>
      </c>
    </row>
    <row r="32" spans="1:11" x14ac:dyDescent="0.25">
      <c r="A32" s="8">
        <f>ROW()-6</f>
      </c>
      <c r="B32" s="9">
        <v>1</v>
      </c>
      <c r="C32" s="9" t="s">
        <v>129</v>
      </c>
      <c r="D32" s="9" t="s">
        <v>130</v>
      </c>
      <c r="E32" s="9" t="s">
        <v>131</v>
      </c>
      <c r="F32" s="9" t="s">
        <v>0</v>
      </c>
      <c r="G32" s="9" t="s">
        <v>129</v>
      </c>
      <c r="H32" s="9" t="s">
        <v>132</v>
      </c>
      <c r="I32" s="9" t="s">
        <v>133</v>
      </c>
      <c r="J32" s="9" t="s">
        <v>27</v>
      </c>
      <c r="K32" s="9" t="s">
        <v>0</v>
      </c>
    </row>
    <row r="33" spans="1:11" x14ac:dyDescent="0.25">
      <c r="A33" s="8">
        <f>ROW()-6</f>
      </c>
      <c r="B33" s="9">
        <v>4</v>
      </c>
      <c r="C33" s="9" t="s">
        <v>134</v>
      </c>
      <c r="D33" s="9" t="s">
        <v>135</v>
      </c>
      <c r="E33" s="9" t="s">
        <v>136</v>
      </c>
      <c r="F33" s="9" t="s">
        <v>0</v>
      </c>
      <c r="G33" s="9" t="s">
        <v>134</v>
      </c>
      <c r="H33" s="9" t="s">
        <v>123</v>
      </c>
      <c r="I33" s="9" t="s">
        <v>137</v>
      </c>
      <c r="J33" s="9" t="s">
        <v>27</v>
      </c>
      <c r="K33" s="9" t="s">
        <v>0</v>
      </c>
    </row>
    <row r="34" spans="1:11" x14ac:dyDescent="0.25">
      <c r="A34" s="8">
        <f>ROW()-6</f>
      </c>
      <c r="B34" s="9">
        <v>1</v>
      </c>
      <c r="C34" s="9" t="s">
        <v>138</v>
      </c>
      <c r="D34" s="9" t="s">
        <v>139</v>
      </c>
      <c r="E34" s="9" t="s">
        <v>140</v>
      </c>
      <c r="F34" s="9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</row>
    <row r="35" spans="1:12" x14ac:dyDescent="0.25">
      <c r="A35" s="8">
        <f>ROW()-6</f>
      </c>
      <c r="B35" s="10">
        <f>SUM(L7:L34)</f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</sheetData>
  <mergeCells count="4">
    <mergeCell ref="A1:D5"/>
    <mergeCell ref="E1:E2"/>
    <mergeCell ref="F1:F2"/>
    <mergeCell ref="B35:L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141</v>
      </c>
      <c r="B1" s="6" t="s">
        <v>4</v>
      </c>
    </row>
    <row r="2" spans="1:2" x14ac:dyDescent="0.25">
      <c r="A2" s="6" t="s">
        <v>142</v>
      </c>
      <c r="B2" s="6" t="s">
        <v>143</v>
      </c>
    </row>
    <row r="3" spans="1:2" x14ac:dyDescent="0.25">
      <c r="A3" s="6" t="s">
        <v>144</v>
      </c>
      <c r="B3" s="6" t="s">
        <v>145</v>
      </c>
    </row>
    <row r="4" spans="1:2" x14ac:dyDescent="0.25">
      <c r="A4" s="6" t="s">
        <v>146</v>
      </c>
      <c r="B4" s="6" t="s">
        <v>147</v>
      </c>
    </row>
    <row r="5" spans="1:2" x14ac:dyDescent="0.25">
      <c r="A5" s="6" t="s">
        <v>148</v>
      </c>
      <c r="B5" s="6" t="s">
        <v>6</v>
      </c>
    </row>
    <row r="6" spans="1:2" x14ac:dyDescent="0.25">
      <c r="A6" s="6" t="s">
        <v>149</v>
      </c>
      <c r="B6" s="6">
        <v>94</v>
      </c>
    </row>
    <row r="7" spans="1:2" x14ac:dyDescent="0.25">
      <c r="A7" s="6" t="s">
        <v>150</v>
      </c>
      <c r="B7" s="6" t="s">
        <v>151</v>
      </c>
    </row>
    <row r="8" spans="1:2" x14ac:dyDescent="0.25">
      <c r="A8" s="6" t="s">
        <v>152</v>
      </c>
      <c r="B8" s="6" t="s">
        <v>153</v>
      </c>
    </row>
    <row r="9" spans="1:2" x14ac:dyDescent="0.25">
      <c r="A9" s="6" t="s">
        <v>154</v>
      </c>
      <c r="B9" s="6" t="s">
        <v>8</v>
      </c>
    </row>
    <row r="10" spans="1:2" x14ac:dyDescent="0.25">
      <c r="A10" s="6" t="s">
        <v>155</v>
      </c>
      <c r="B10" s="6" t="s">
        <v>2</v>
      </c>
    </row>
    <row r="11" spans="1:2" x14ac:dyDescent="0.25">
      <c r="A11" s="6" t="s">
        <v>156</v>
      </c>
      <c r="B11" s="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2026-10-04T09:58:56Z</dcterms:modified>
</cp:coreProperties>
</file>